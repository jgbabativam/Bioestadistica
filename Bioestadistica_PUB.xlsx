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 workbookPassword="84AE" lockStructure="1"/>
  <bookViews>
    <workbookView showHorizontalScroll="true" showVerticalScroll="true" showSheetTabs="true" xWindow="0" yWindow="0" windowWidth="16384" windowHeight="8192" tabRatio="500" firstSheet="0" activeTab="0"/>
  </bookViews>
  <sheets>
    <sheet name="Notas" sheetId="1" state="visible" r:id="rId3"/>
    <sheet name="archivo_DATA" sheetId="2" state="veryHidden" r:id="rId4"/>
  </sheets>
  <definedNames>
    <definedName function="false" hidden="false" localSheetId="1" name="Excel_BuiltIn__FilterDatabase" vbProcedure="false">archivo_DATA!$A$1:$J$50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<sst xmlns="http://schemas.openxmlformats.org/spreadsheetml/2006/main" count="218" uniqueCount="168">
  <si>
    <t xml:space="preserve">CONSULTA DE NOTA - EXAMEN 1 - BIOESTADISTICA FUNDAMENTAL</t>
  </si>
  <si>
    <t xml:space="preserve">➡ DIGITE AQUI SU NUMERO
DE DOCUMENTO ➡</t>
  </si>
  <si>
    <t xml:space="preserve">NOTA 1 corresponde a la nota del examen 1, incluyendo las bonificaciones por pasar al tablero y por el ensayo.</t>
  </si>
  <si>
    <t xml:space="preserve">DOCUMENTO</t>
  </si>
  <si>
    <t xml:space="preserve">APELLIDOS Y NOMBRE</t>
  </si>
  <si>
    <t xml:space="preserve">PLAN</t>
  </si>
  <si>
    <t xml:space="preserve">CORREO</t>
  </si>
  <si>
    <t xml:space="preserve">Bono:
pasar al tablero</t>
  </si>
  <si>
    <t xml:space="preserve">Bono:
ensayo</t>
  </si>
  <si>
    <t xml:space="preserve">Puntos</t>
  </si>
  <si>
    <t xml:space="preserve">Nota
(sin bonos)</t>
  </si>
  <si>
    <t xml:space="preserve">NOTA 1
(incluye bonificaciones)</t>
  </si>
  <si>
    <t xml:space="preserve">OBSERVACIÓN</t>
  </si>
  <si>
    <t xml:space="preserve">BONO P1</t>
  </si>
  <si>
    <t xml:space="preserve">BONO DEMIS HASSABIS</t>
  </si>
  <si>
    <t xml:space="preserve">Nota</t>
  </si>
  <si>
    <t xml:space="preserve">NOTA 1</t>
  </si>
  <si>
    <t xml:space="preserve">ALBA VILLARRAGA, SAMUEL CRISTOBAL</t>
  </si>
  <si>
    <t xml:space="preserve">1076240994</t>
  </si>
  <si>
    <t xml:space="preserve">2517 - GEOLOGÍA</t>
  </si>
  <si>
    <t xml:space="preserve">salbav@unal.edu.co</t>
  </si>
  <si>
    <t xml:space="preserve">ALEJO CRUZ, SIMÓN STEVEN</t>
  </si>
  <si>
    <t xml:space="preserve">1012916858</t>
  </si>
  <si>
    <t xml:space="preserve">2515 - FARMACIA</t>
  </si>
  <si>
    <t xml:space="preserve">salejoc@unal.edu.co</t>
  </si>
  <si>
    <t xml:space="preserve">ALFONSO CAPURRO, MANUEL FEDERICO</t>
  </si>
  <si>
    <t xml:space="preserve">1053327506</t>
  </si>
  <si>
    <t xml:space="preserve">malfonsoc@unal.edu.co</t>
  </si>
  <si>
    <t xml:space="preserve">AMÉZQUITA VELÁSQUEZ, JUAN SEBASTIÁN</t>
  </si>
  <si>
    <t xml:space="preserve">1076907433</t>
  </si>
  <si>
    <t xml:space="preserve">2513 - BIOLOGÍA</t>
  </si>
  <si>
    <t xml:space="preserve">jamezquitav@unal.edu.co</t>
  </si>
  <si>
    <t xml:space="preserve">APRAEZ ENRIQUEZ, JUAN SEBASTIAN</t>
  </si>
  <si>
    <t xml:space="preserve">1123206774</t>
  </si>
  <si>
    <t xml:space="preserve">japraeze@unal.edu.co</t>
  </si>
  <si>
    <t xml:space="preserve">ARDILA CÓRDOBA, MARIANA</t>
  </si>
  <si>
    <t xml:space="preserve">1031810417</t>
  </si>
  <si>
    <t xml:space="preserve">mardilaco@unal.edu.co</t>
  </si>
  <si>
    <t xml:space="preserve">ARDILA ROBAYO, OSCAR YESID</t>
  </si>
  <si>
    <t xml:space="preserve">1150184601</t>
  </si>
  <si>
    <t xml:space="preserve">2519 - QUÍMICA</t>
  </si>
  <si>
    <t xml:space="preserve">oardila@unal.edu.co</t>
  </si>
  <si>
    <t xml:space="preserve">BAYONA GALLEGO, LIZETH TATIANA</t>
  </si>
  <si>
    <t xml:space="preserve">1028481601</t>
  </si>
  <si>
    <t xml:space="preserve">lbayonag@unal.edu.co</t>
  </si>
  <si>
    <t xml:space="preserve">BERNAL CASTAÑEDA, NICOLAS</t>
  </si>
  <si>
    <t xml:space="preserve">1014978673</t>
  </si>
  <si>
    <t xml:space="preserve">nibernalc@unal.edu.co</t>
  </si>
  <si>
    <t xml:space="preserve">BORDA MALDONADO, CRISTIAN JESHUA</t>
  </si>
  <si>
    <t xml:space="preserve">1093298726</t>
  </si>
  <si>
    <t xml:space="preserve">cbordam@unal.edu.co</t>
  </si>
  <si>
    <t xml:space="preserve">CABRERA CARREÑO, LOREN SOFIA</t>
  </si>
  <si>
    <t xml:space="preserve">1123626503</t>
  </si>
  <si>
    <t xml:space="preserve">locabrerac@unal.edu.co</t>
  </si>
  <si>
    <t xml:space="preserve">CAÑON MELENDRO, JULIAN</t>
  </si>
  <si>
    <t xml:space="preserve">1000132083</t>
  </si>
  <si>
    <t xml:space="preserve">jcanonme@unal.edu.co</t>
  </si>
  <si>
    <t xml:space="preserve">CONTRERAS CHEMBI, NICOLAS</t>
  </si>
  <si>
    <t xml:space="preserve">1016024758</t>
  </si>
  <si>
    <t xml:space="preserve">ncontrerasc@unal.edu.co</t>
  </si>
  <si>
    <t xml:space="preserve">Cruz Hernández, Divier Alexis</t>
  </si>
  <si>
    <t xml:space="preserve">1101753399</t>
  </si>
  <si>
    <t xml:space="preserve">dicruzh@unal.edu.co</t>
  </si>
  <si>
    <t xml:space="preserve">CUSPOCA CABRA, JULIAN ENRIQUE</t>
  </si>
  <si>
    <t xml:space="preserve">1052402931</t>
  </si>
  <si>
    <t xml:space="preserve">jecuspocac@unal.edu.co</t>
  </si>
  <si>
    <t xml:space="preserve">ESPINOSA MOSTACILLA, DIEGO ANDRES</t>
  </si>
  <si>
    <t xml:space="preserve">1001068029</t>
  </si>
  <si>
    <t xml:space="preserve">diespinosam@unal.edu.co</t>
  </si>
  <si>
    <t xml:space="preserve">ESPINOZA MOYA, LUIS FERNANDO</t>
  </si>
  <si>
    <t xml:space="preserve">1032679199</t>
  </si>
  <si>
    <t xml:space="preserve">lespinozam@unal.edu.co</t>
  </si>
  <si>
    <t xml:space="preserve">FONSECA RESTREPO, JULIANA SOFIA</t>
  </si>
  <si>
    <t xml:space="preserve">1011324993</t>
  </si>
  <si>
    <t xml:space="preserve">jufonsecar@unal.edu.co</t>
  </si>
  <si>
    <t xml:space="preserve">GARCIA SANABRIA, DANIEL FELIPE</t>
  </si>
  <si>
    <t xml:space="preserve">1074344646</t>
  </si>
  <si>
    <t xml:space="preserve">dgarciasan@unal.edu.co</t>
  </si>
  <si>
    <t xml:space="preserve">Garzon Vargas, Maximiliano</t>
  </si>
  <si>
    <t xml:space="preserve">1026256714</t>
  </si>
  <si>
    <t xml:space="preserve">mgarzonv@unal.edu.co</t>
  </si>
  <si>
    <t xml:space="preserve">HERNANDEZ PINTO, CARLOS SANTIAGO</t>
  </si>
  <si>
    <t xml:space="preserve">1016953435</t>
  </si>
  <si>
    <t xml:space="preserve">chernandezpi@unal.edu.co</t>
  </si>
  <si>
    <t xml:space="preserve">HURTADO HURTADO, GLORIA STEPHANIE</t>
  </si>
  <si>
    <t xml:space="preserve">1000714154</t>
  </si>
  <si>
    <t xml:space="preserve">ghurtadoh@unal.edu.co</t>
  </si>
  <si>
    <t xml:space="preserve">JEREZ PUENTES, BRAYAN STEVENT</t>
  </si>
  <si>
    <t xml:space="preserve">1099208375</t>
  </si>
  <si>
    <t xml:space="preserve">bjerez@unal.edu.co</t>
  </si>
  <si>
    <t xml:space="preserve">JORDAN BALCAZAR, NICOLAS</t>
  </si>
  <si>
    <t xml:space="preserve">1013114001</t>
  </si>
  <si>
    <t xml:space="preserve">njordan@unal.edu.co</t>
  </si>
  <si>
    <t xml:space="preserve">MEDINA HERNÁNDEZ, JULIANA</t>
  </si>
  <si>
    <t xml:space="preserve">1070327782</t>
  </si>
  <si>
    <t xml:space="preserve">jmedinahe@unal.edu.co</t>
  </si>
  <si>
    <t xml:space="preserve">MEDINA NIÑO, NATALIA</t>
  </si>
  <si>
    <t xml:space="preserve">1010005569</t>
  </si>
  <si>
    <t xml:space="preserve">nmedinan@unal.edu.co</t>
  </si>
  <si>
    <t xml:space="preserve">MONSALVE AGAMEZ, JAIME ANDRES</t>
  </si>
  <si>
    <t xml:space="preserve">1014980652</t>
  </si>
  <si>
    <t xml:space="preserve">jamonsalvea@unal.edu.co</t>
  </si>
  <si>
    <t xml:space="preserve">MONTAÑEZ DOMINGUEZ, TOMAS ALBERTO</t>
  </si>
  <si>
    <t xml:space="preserve">1027152242</t>
  </si>
  <si>
    <t xml:space="preserve">tmontanez@unal.edu.co</t>
  </si>
  <si>
    <t xml:space="preserve">MORENO SANCHEZ, SARA SOFIA</t>
  </si>
  <si>
    <t xml:space="preserve">1034780350</t>
  </si>
  <si>
    <t xml:space="preserve">smorenosa@unal.edu.co</t>
  </si>
  <si>
    <t xml:space="preserve">MOSCOSO ENCISO, ALLISON DANIELA</t>
  </si>
  <si>
    <t xml:space="preserve">1024506442</t>
  </si>
  <si>
    <t xml:space="preserve">amoscosoe@unal.edu.co</t>
  </si>
  <si>
    <t xml:space="preserve">MOSTACILLA HERRERA, MARIE ANNE</t>
  </si>
  <si>
    <t xml:space="preserve">1019986196</t>
  </si>
  <si>
    <t xml:space="preserve">mmostacilla@unal.edu.co</t>
  </si>
  <si>
    <t xml:space="preserve">MUÑOZ BÁEZ, EMANUEL</t>
  </si>
  <si>
    <t xml:space="preserve">1019606091</t>
  </si>
  <si>
    <t xml:space="preserve">emmunoz@unal.edu.co</t>
  </si>
  <si>
    <t xml:space="preserve">NARVAEZ LOPEZ, SHAIRA SOFIA</t>
  </si>
  <si>
    <t xml:space="preserve">1052525681</t>
  </si>
  <si>
    <t xml:space="preserve">snarvaezl@unal.edu.co</t>
  </si>
  <si>
    <t xml:space="preserve">NUVAN DURAN, JULIAN ANDRES</t>
  </si>
  <si>
    <t xml:space="preserve">1052840598</t>
  </si>
  <si>
    <t xml:space="preserve">jnuvan@unal.edu.co</t>
  </si>
  <si>
    <t xml:space="preserve">ORTIZ BUITRAGO, LUIS DAVID</t>
  </si>
  <si>
    <t xml:space="preserve">1001115086</t>
  </si>
  <si>
    <t xml:space="preserve">luortizb@unal.edu.co</t>
  </si>
  <si>
    <t xml:space="preserve">PEREZ BONILLA, OMAR ENRIQUE</t>
  </si>
  <si>
    <t xml:space="preserve">1000517215</t>
  </si>
  <si>
    <t xml:space="preserve">operezb@unal.edu.co</t>
  </si>
  <si>
    <t xml:space="preserve">PINILLO OROBIO, LESLY LORIETH</t>
  </si>
  <si>
    <t xml:space="preserve">1085547058</t>
  </si>
  <si>
    <t xml:space="preserve">lpinillo@unal.edu.co</t>
  </si>
  <si>
    <t xml:space="preserve">POVEDA CONDE, JULIAN DAVID</t>
  </si>
  <si>
    <t xml:space="preserve">1025322920</t>
  </si>
  <si>
    <t xml:space="preserve">jupoveda@unal.edu.co</t>
  </si>
  <si>
    <t xml:space="preserve">PUERRES ROSERO, EMPERATRIZ</t>
  </si>
  <si>
    <t xml:space="preserve">1089289425</t>
  </si>
  <si>
    <t xml:space="preserve">epuerresr@unal.edu.co</t>
  </si>
  <si>
    <t xml:space="preserve">RAMIREZ SEGURA, ANDRES FELIPE</t>
  </si>
  <si>
    <t xml:space="preserve">1012976520</t>
  </si>
  <si>
    <t xml:space="preserve">anramirezse@unal.edu.co</t>
  </si>
  <si>
    <t xml:space="preserve">RODRIGUEZ VILLAMIL, JUANITA VALENTINA</t>
  </si>
  <si>
    <t xml:space="preserve">1145924939</t>
  </si>
  <si>
    <t xml:space="preserve">jurodriguezvil@unal.edu.co</t>
  </si>
  <si>
    <t xml:space="preserve">ROJAS CASALLAS, NICOLAS ALEJANDRO</t>
  </si>
  <si>
    <t xml:space="preserve">1031422032</t>
  </si>
  <si>
    <t xml:space="preserve">nrojasca@unal.edu.co</t>
  </si>
  <si>
    <t xml:space="preserve">RUIZ WILCHES, KAREN YULIANA</t>
  </si>
  <si>
    <t xml:space="preserve">1033712676</t>
  </si>
  <si>
    <t xml:space="preserve">kruizw@unal.edu.co</t>
  </si>
  <si>
    <t xml:space="preserve">SANTACRUZ ESPINOSA, JUAN DAVID</t>
  </si>
  <si>
    <t xml:space="preserve">1021314085</t>
  </si>
  <si>
    <t xml:space="preserve">jsantacruze@unal.edu.co</t>
  </si>
  <si>
    <t xml:space="preserve">TIQUE ARIAS, HAROLD ESTEBAN</t>
  </si>
  <si>
    <t xml:space="preserve">1033695624</t>
  </si>
  <si>
    <t xml:space="preserve">htique@unal.edu.co</t>
  </si>
  <si>
    <t xml:space="preserve">TRIVIÑO PEREZ, GABRIEL ENRIQUE</t>
  </si>
  <si>
    <t xml:space="preserve">1013265158</t>
  </si>
  <si>
    <t xml:space="preserve">gtrivinop@unal.edu.co</t>
  </si>
  <si>
    <t xml:space="preserve">VARGAS GUERRERO, ERIKA JULIANA</t>
  </si>
  <si>
    <t xml:space="preserve">1050603162</t>
  </si>
  <si>
    <t xml:space="preserve">ervargasg@unal.edu.co</t>
  </si>
  <si>
    <t xml:space="preserve">VELÁSQUEZ BOTELLO, VLADIMIR EDUARDO</t>
  </si>
  <si>
    <t xml:space="preserve">1007029187</t>
  </si>
  <si>
    <t xml:space="preserve">vvelasquezb@unal.edu.co</t>
  </si>
  <si>
    <t xml:space="preserve">Venecia Ardila, Rafael Camilo</t>
  </si>
  <si>
    <t xml:space="preserve">1005260647</t>
  </si>
  <si>
    <t xml:space="preserve">rvenecia@unal.edu.co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</si>
</sst>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Tahoma"/>
      <family val="0"/>
      <charset val="1"/>
    </font>
    <font>
      <b val="true"/>
      <sz val="13"/>
      <color rgb="FFC00000"/>
      <name val="Tahoma"/>
      <family val="0"/>
      <charset val="1"/>
    </font>
    <font>
      <b val="true"/>
      <sz val="16"/>
      <color rgb="FF000000"/>
      <name val="Tahoma"/>
      <family val="0"/>
      <charset val="1"/>
    </font>
    <font>
      <b val="true"/>
      <i val="true"/>
      <sz val="11"/>
      <color rgb="FFC00000"/>
      <name val="Tahoma"/>
      <family val="0"/>
      <charset val="1"/>
    </font>
    <font>
      <i val="true"/>
      <sz val="10"/>
      <color rgb="FF1F4E78"/>
      <name val="Tahoma"/>
      <family val="0"/>
      <charset val="1"/>
    </font>
    <font>
      <b val="true"/>
      <sz val="9"/>
      <color rgb="FFFFFFFF"/>
      <name val="Tahoma"/>
      <family val="0"/>
      <charset val="1"/>
    </font>
    <font>
      <b val="true"/>
      <sz val="12"/>
      <name val="Calibri"/>
      <family val="0"/>
      <charset val="1"/>
    </font>
    <font>
      <b val="true"/>
      <sz val="13"/>
      <color rgb="FFC00000"/>
      <name val="Calibri"/>
      <family val="0"/>
      <charset val="1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706F6F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  <fill>
      <patternFill patternType="solid">
        <fgColor rgb="FFC00000"/>
        <bgColor rgb="FF800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00000"/>
      </left>
      <right/>
      <top style="medium">
        <color rgb="FFC00000"/>
      </top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06F6F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2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6" min="5" style="1" width="12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6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</v>
      </c>
      <c r="B2" s="3"/>
      <c r="C2" s="4"/>
      <c r="D2" s="4"/>
      <c r="E2" s="5" t="str">
        <f aca="false">IF($C$2="","Esperando el numero de documento...",IF(ISNA(MATCH($C$2,archivo_DATA!$B:$B,0)),"Documento no encontrado. Verifique que este bien escrito.","Estudiante encontrado. Su nota se muestra abajo."))</f>
        <v>Esperando el numero de documento...</v>
      </c>
      <c r="F2" s="5"/>
      <c r="G2" s="5"/>
      <c r="H2" s="5"/>
      <c r="I2" s="5"/>
    </row>
    <row r="3" customFormat="false" ht="15" hidden="false" customHeight="true" outlineLevel="0" collapsed="false">
      <c r="A3" s="3"/>
      <c r="B3" s="3"/>
      <c r="C3" s="4"/>
      <c r="D3" s="4"/>
      <c r="E3" s="5"/>
      <c r="F3" s="5"/>
      <c r="G3" s="5"/>
      <c r="H3" s="5"/>
      <c r="I3" s="5"/>
    </row>
    <row r="5" customFormat="false" ht="18" hidden="false" customHeight="true" outlineLevel="0" collapsed="false">
      <c r="A5" s="6" t="s">
        <v>2</v>
      </c>
      <c r="B5" s="6"/>
      <c r="C5" s="6"/>
      <c r="D5" s="6"/>
      <c r="E5" s="6"/>
      <c r="F5" s="6"/>
      <c r="G5" s="6"/>
      <c r="H5" s="6"/>
      <c r="I5" s="6"/>
    </row>
    <row r="6" customFormat="false" ht="42" hidden="false" customHeight="true" outlineLevel="0" collapsed="false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8" t="s">
        <v>11</v>
      </c>
    </row>
    <row r="7" customFormat="false" ht="24" hidden="false" customHeight="true" outlineLevel="0" collapsed="false">
      <c r="A7" s="9" t="str">
        <f aca="false">IF($C$2="","",IF(ISNA(MATCH($C$2,archivo_DATA!$B:$B,0)),"",INDEX(archivo_DATA!B:B,MATCH($C$2,archivo_DATA!$B:$B,0))))</f>
        <v/>
      </c>
      <c r="B7" s="9" t="str">
        <f aca="false">IF($C$2="","",IF(ISNA(MATCH($C$2,archivo_DATA!$B:$B,0)),"",INDEX(archivo_DATA!A:A,MATCH($C$2,archivo_DATA!$B:$B,0))))</f>
        <v/>
      </c>
      <c r="C7" s="9" t="str">
        <f aca="false">IF($C$2="","",IF(ISNA(MATCH($C$2,archivo_DATA!$B:$B,0)),"",INDEX(archivo_DATA!C:C,MATCH($C$2,archivo_DATA!$B:$B,0))))</f>
        <v/>
      </c>
      <c r="D7" s="9" t="str">
        <f aca="false">IF($C$2="","",IF(ISNA(MATCH($C$2,archivo_DATA!$B:$B,0)),"",INDEX(archivo_DATA!E:E,MATCH($C$2,archivo_DATA!$B:$B,0))))</f>
        <v/>
      </c>
      <c r="E7" s="10" t="str">
        <f aca="false">IF($C$2="","",IF(ISNA(MATCH($C$2,archivo_DATA!$B:$B,0)),"",INDEX(archivo_DATA!F:F,MATCH($C$2,archivo_DATA!$B:$B,0))))</f>
        <v/>
      </c>
      <c r="F7" s="10" t="str">
        <f aca="false">IF($C$2="","",IF(ISNA(MATCH($C$2,archivo_DATA!$B:$B,0)),"",INDEX(archivo_DATA!G:G,MATCH($C$2,archivo_DATA!$B:$B,0))))</f>
        <v/>
      </c>
      <c r="G7" s="10" t="str">
        <f aca="false">IF($C$2="","",IF(ISNA(MATCH($C$2,archivo_DATA!$B:$B,0)),"",INDEX(archivo_DATA!H:H,MATCH($C$2,archivo_DATA!$B:$B,0))))</f>
        <v/>
      </c>
      <c r="H7" s="11" t="str">
        <f aca="false">IF($C$2="","",IF(ISNA(MATCH($C$2,archivo_DATA!$B:$B,0)),"",INDEX(archivo_DATA!I:I,MATCH($C$2,archivo_DATA!$B:$B,0))))</f>
        <v/>
      </c>
      <c r="I7" s="12" t="str">
        <f aca="false">IF($C$2="","",IF(ISNA(MATCH($C$2,archivo_DATA!$B:$B,0)),"",INDEX(archivo_DATA!J:J,MATCH($C$2,archivo_DATA!$B:$B,0))))</f>
        <v/>
      </c>
    </row>
  </sheetData>
  <sheetProtection sheet="true" password="84ae"/>
  <mergeCells count="5">
    <mergeCell ref="A1:I1"/>
    <mergeCell ref="A2:B3"/>
    <mergeCell ref="C2:D3"/>
    <mergeCell ref="E2:I3"/>
    <mergeCell ref="A5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2" zeroHeight="false" outlineLevelRow="0" outlineLevelCol="0"/>
  <cols>
    <col collapsed="false" customWidth="true" hidden="false" outlineLevel="0" max="1" min="1" style="1" width="37.26"/>
    <col collapsed="false" customWidth="true" hidden="false" outlineLevel="0" max="2" min="2" style="1" width="11.99"/>
    <col collapsed="false" customWidth="true" hidden="false" outlineLevel="0" max="3" min="3" style="1" width="15.72"/>
    <col collapsed="false" customWidth="true" hidden="false" outlineLevel="0" max="4" min="4" style="1" width="13.17"/>
    <col collapsed="false" customWidth="true" hidden="false" outlineLevel="0" max="5" min="5" style="1" width="23.72"/>
  </cols>
  <sheetData>
    <row r="1" customFormat="false" ht="12.75" hidden="false" customHeight="true" outlineLevel="0" collapsed="false">
      <c r="A1" s="1" t="s">
        <v>4</v>
      </c>
      <c r="B1" s="1" t="s">
        <v>3</v>
      </c>
      <c r="C1" s="1" t="s">
        <v>5</v>
      </c>
      <c r="D1" s="1" t="s">
        <v>12</v>
      </c>
      <c r="E1" s="1" t="s">
        <v>6</v>
      </c>
      <c r="F1" s="13" t="s">
        <v>13</v>
      </c>
      <c r="G1" s="13" t="s">
        <v>14</v>
      </c>
      <c r="H1" s="13" t="s">
        <v>9</v>
      </c>
      <c r="I1" s="13" t="s">
        <v>15</v>
      </c>
      <c r="J1" s="13" t="s">
        <v>16</v>
      </c>
    </row>
    <row r="2" customFormat="false" ht="12" hidden="false" customHeight="true" outlineLevel="0" collapsed="false">
      <c r="A2" s="14" t="s">
        <v>17</v>
      </c>
      <c r="B2" s="14" t="s">
        <v>18</v>
      </c>
      <c r="C2" s="14" t="s">
        <v>19</v>
      </c>
      <c r="D2" s="14"/>
      <c r="E2" s="14" t="s">
        <v>20</v>
      </c>
      <c r="I2" s="15" t="n">
        <v>0</v>
      </c>
      <c r="J2" s="15" t="n">
        <f aca="false">(F2+G2)*0.1+I2</f>
        <v>0</v>
      </c>
    </row>
    <row r="3" customFormat="false" ht="12" hidden="false" customHeight="true" outlineLevel="0" collapsed="false">
      <c r="A3" s="14" t="s">
        <v>21</v>
      </c>
      <c r="B3" s="14" t="s">
        <v>22</v>
      </c>
      <c r="C3" s="14" t="s">
        <v>23</v>
      </c>
      <c r="D3" s="14"/>
      <c r="E3" s="14" t="s">
        <v>24</v>
      </c>
      <c r="H3" s="1" t="n">
        <v>8</v>
      </c>
      <c r="I3" s="15" t="n">
        <f aca="false">(H3+1)/15*5</f>
        <v>3</v>
      </c>
      <c r="J3" s="15" t="n">
        <f aca="false">(F3+G3)*0.1+I3</f>
        <v>3</v>
      </c>
    </row>
    <row r="4" customFormat="false" ht="12" hidden="false" customHeight="true" outlineLevel="0" collapsed="false">
      <c r="A4" s="14" t="s">
        <v>25</v>
      </c>
      <c r="B4" s="14" t="s">
        <v>26</v>
      </c>
      <c r="C4" s="14" t="s">
        <v>23</v>
      </c>
      <c r="D4" s="14"/>
      <c r="E4" s="14" t="s">
        <v>27</v>
      </c>
      <c r="F4" s="1" t="n">
        <v>1</v>
      </c>
      <c r="H4" s="1" t="n">
        <v>11</v>
      </c>
      <c r="I4" s="15" t="n">
        <f aca="false">(H4+1)/15*5</f>
        <v>4</v>
      </c>
      <c r="J4" s="15" t="n">
        <f aca="false">(F4+G4)*0.1+I4</f>
        <v>4.1</v>
      </c>
    </row>
    <row r="5" customFormat="false" ht="12" hidden="false" customHeight="true" outlineLevel="0" collapsed="false">
      <c r="A5" s="14" t="s">
        <v>28</v>
      </c>
      <c r="B5" s="14" t="s">
        <v>29</v>
      </c>
      <c r="C5" s="14" t="s">
        <v>30</v>
      </c>
      <c r="D5" s="14"/>
      <c r="E5" s="14" t="s">
        <v>31</v>
      </c>
      <c r="G5" s="1" t="n">
        <v>3</v>
      </c>
      <c r="H5" s="1" t="n">
        <v>2</v>
      </c>
      <c r="I5" s="15" t="n">
        <f aca="false">(H5+1)/15*5</f>
        <v>1</v>
      </c>
      <c r="J5" s="15" t="n">
        <f aca="false">(F5+G5)*0.1+I5</f>
        <v>1.3</v>
      </c>
    </row>
    <row r="6" customFormat="false" ht="12" hidden="false" customHeight="true" outlineLevel="0" collapsed="false">
      <c r="A6" s="14" t="s">
        <v>32</v>
      </c>
      <c r="B6" s="14" t="s">
        <v>33</v>
      </c>
      <c r="C6" s="14" t="s">
        <v>23</v>
      </c>
      <c r="D6" s="14"/>
      <c r="E6" s="14" t="s">
        <v>34</v>
      </c>
      <c r="F6" s="1" t="n">
        <v>1</v>
      </c>
      <c r="H6" s="1" t="n">
        <v>5</v>
      </c>
      <c r="I6" s="15" t="n">
        <f aca="false">(H6+1)/15*5</f>
        <v>2</v>
      </c>
      <c r="J6" s="15" t="n">
        <f aca="false">(F6+G6)*0.1+I6</f>
        <v>2.1</v>
      </c>
    </row>
    <row r="7" customFormat="false" ht="12" hidden="false" customHeight="true" outlineLevel="0" collapsed="false">
      <c r="A7" s="14" t="s">
        <v>35</v>
      </c>
      <c r="B7" s="14" t="s">
        <v>36</v>
      </c>
      <c r="C7" s="14" t="s">
        <v>23</v>
      </c>
      <c r="D7" s="14"/>
      <c r="E7" s="14" t="s">
        <v>37</v>
      </c>
      <c r="F7" s="1" t="n">
        <v>1</v>
      </c>
      <c r="G7" s="1" t="n">
        <v>3</v>
      </c>
      <c r="H7" s="1" t="n">
        <v>3</v>
      </c>
      <c r="I7" s="15" t="n">
        <f aca="false">(H7+1)/15*5</f>
        <v>1.33333333333333</v>
      </c>
      <c r="J7" s="15" t="n">
        <f aca="false">(F7+G7)*0.1+I7</f>
        <v>1.73333333333333</v>
      </c>
    </row>
    <row r="8" customFormat="false" ht="12" hidden="false" customHeight="true" outlineLevel="0" collapsed="false">
      <c r="A8" s="14" t="s">
        <v>38</v>
      </c>
      <c r="B8" s="14" t="s">
        <v>39</v>
      </c>
      <c r="C8" s="14" t="s">
        <v>40</v>
      </c>
      <c r="D8" s="14"/>
      <c r="E8" s="14" t="s">
        <v>41</v>
      </c>
      <c r="H8" s="1" t="n">
        <v>5</v>
      </c>
      <c r="I8" s="15" t="n">
        <f aca="false">(H8+1)/15*5</f>
        <v>2</v>
      </c>
      <c r="J8" s="15" t="n">
        <f aca="false">(F8+G8)*0.1+I8</f>
        <v>2</v>
      </c>
    </row>
    <row r="9" customFormat="false" ht="12" hidden="false" customHeight="true" outlineLevel="0" collapsed="false">
      <c r="A9" s="14" t="s">
        <v>42</v>
      </c>
      <c r="B9" s="14" t="s">
        <v>43</v>
      </c>
      <c r="C9" s="14" t="s">
        <v>40</v>
      </c>
      <c r="D9" s="14"/>
      <c r="E9" s="14" t="s">
        <v>44</v>
      </c>
      <c r="H9" s="1" t="n">
        <v>3</v>
      </c>
      <c r="I9" s="15" t="n">
        <f aca="false">(H9+1)/15*5</f>
        <v>1.33333333333333</v>
      </c>
      <c r="J9" s="15" t="n">
        <f aca="false">(F9+G9)*0.1+I9</f>
        <v>1.33333333333333</v>
      </c>
    </row>
    <row r="10" customFormat="false" ht="12" hidden="false" customHeight="true" outlineLevel="0" collapsed="false">
      <c r="A10" s="14" t="s">
        <v>45</v>
      </c>
      <c r="B10" s="14" t="s">
        <v>46</v>
      </c>
      <c r="C10" s="14" t="s">
        <v>19</v>
      </c>
      <c r="D10" s="14"/>
      <c r="E10" s="14" t="s">
        <v>47</v>
      </c>
      <c r="F10" s="1" t="n">
        <v>1</v>
      </c>
      <c r="H10" s="1" t="n">
        <v>14</v>
      </c>
      <c r="I10" s="15" t="n">
        <f aca="false">(H10+1)/15*5</f>
        <v>5</v>
      </c>
      <c r="J10" s="15" t="n">
        <f aca="false">(F10+G10)*0.1+I10</f>
        <v>5.1</v>
      </c>
    </row>
    <row r="11" customFormat="false" ht="12" hidden="false" customHeight="true" outlineLevel="0" collapsed="false">
      <c r="A11" s="14" t="s">
        <v>48</v>
      </c>
      <c r="B11" s="14" t="s">
        <v>49</v>
      </c>
      <c r="C11" s="14" t="s">
        <v>23</v>
      </c>
      <c r="D11" s="14"/>
      <c r="E11" s="14" t="s">
        <v>50</v>
      </c>
      <c r="F11" s="1" t="n">
        <v>2</v>
      </c>
      <c r="H11" s="1" t="n">
        <v>13</v>
      </c>
      <c r="I11" s="15" t="n">
        <f aca="false">(H11+1)/15*5</f>
        <v>4.66666666666667</v>
      </c>
      <c r="J11" s="15" t="n">
        <f aca="false">(F11+G11)*0.1+I11</f>
        <v>4.86666666666667</v>
      </c>
    </row>
    <row r="12" customFormat="false" ht="12" hidden="false" customHeight="true" outlineLevel="0" collapsed="false">
      <c r="A12" s="14" t="s">
        <v>51</v>
      </c>
      <c r="B12" s="14" t="s">
        <v>52</v>
      </c>
      <c r="C12" s="14" t="s">
        <v>19</v>
      </c>
      <c r="D12" s="14"/>
      <c r="E12" s="14" t="s">
        <v>53</v>
      </c>
      <c r="I12" s="15" t="n">
        <v>0</v>
      </c>
      <c r="J12" s="15" t="n">
        <f aca="false">(F12+G12)*0.1+I12</f>
        <v>0</v>
      </c>
    </row>
    <row r="13" customFormat="false" ht="12" hidden="false" customHeight="true" outlineLevel="0" collapsed="false">
      <c r="A13" s="14" t="s">
        <v>54</v>
      </c>
      <c r="B13" s="14" t="s">
        <v>55</v>
      </c>
      <c r="C13" s="14" t="s">
        <v>40</v>
      </c>
      <c r="D13" s="14"/>
      <c r="E13" s="14" t="s">
        <v>56</v>
      </c>
      <c r="G13" s="1" t="n">
        <v>3</v>
      </c>
      <c r="H13" s="1" t="n">
        <v>10</v>
      </c>
      <c r="I13" s="15" t="n">
        <f aca="false">(H13+1)/15*5</f>
        <v>3.66666666666667</v>
      </c>
      <c r="J13" s="15" t="n">
        <f aca="false">(F13+G13)*0.1+I13</f>
        <v>3.96666666666667</v>
      </c>
    </row>
    <row r="14" customFormat="false" ht="12" hidden="false" customHeight="true" outlineLevel="0" collapsed="false">
      <c r="A14" s="14" t="s">
        <v>57</v>
      </c>
      <c r="B14" s="14" t="s">
        <v>58</v>
      </c>
      <c r="C14" s="14" t="s">
        <v>23</v>
      </c>
      <c r="D14" s="14"/>
      <c r="E14" s="14" t="s">
        <v>59</v>
      </c>
      <c r="H14" s="1" t="n">
        <v>14</v>
      </c>
      <c r="I14" s="15" t="n">
        <f aca="false">(H14+1)/15*5</f>
        <v>5</v>
      </c>
      <c r="J14" s="15" t="n">
        <f aca="false">(F14+G14)*0.1+I14</f>
        <v>5</v>
      </c>
    </row>
    <row r="15" customFormat="false" ht="12" hidden="false" customHeight="true" outlineLevel="0" collapsed="false">
      <c r="A15" s="14" t="s">
        <v>60</v>
      </c>
      <c r="B15" s="14" t="s">
        <v>61</v>
      </c>
      <c r="C15" s="14" t="s">
        <v>30</v>
      </c>
      <c r="D15" s="14"/>
      <c r="E15" s="14" t="s">
        <v>62</v>
      </c>
      <c r="I15" s="15" t="n">
        <v>0</v>
      </c>
      <c r="J15" s="15" t="n">
        <f aca="false">(F15+G15)*0.1+I15</f>
        <v>0</v>
      </c>
    </row>
    <row r="16" customFormat="false" ht="12" hidden="false" customHeight="true" outlineLevel="0" collapsed="false">
      <c r="A16" s="14" t="s">
        <v>63</v>
      </c>
      <c r="B16" s="14" t="s">
        <v>64</v>
      </c>
      <c r="C16" s="14" t="s">
        <v>40</v>
      </c>
      <c r="D16" s="14"/>
      <c r="E16" s="14" t="s">
        <v>65</v>
      </c>
      <c r="I16" s="15" t="n">
        <v>0</v>
      </c>
      <c r="J16" s="15" t="n">
        <f aca="false">(F16+G16)*0.1+I16</f>
        <v>0</v>
      </c>
    </row>
    <row r="17" customFormat="false" ht="12" hidden="false" customHeight="true" outlineLevel="0" collapsed="false">
      <c r="A17" s="14" t="s">
        <v>66</v>
      </c>
      <c r="B17" s="14" t="s">
        <v>67</v>
      </c>
      <c r="C17" s="14" t="s">
        <v>23</v>
      </c>
      <c r="D17" s="14"/>
      <c r="E17" s="14" t="s">
        <v>68</v>
      </c>
      <c r="F17" s="1" t="n">
        <v>1</v>
      </c>
      <c r="G17" s="1" t="n">
        <v>3</v>
      </c>
      <c r="H17" s="1" t="n">
        <v>12</v>
      </c>
      <c r="I17" s="15" t="n">
        <f aca="false">(H17+1)/15*5</f>
        <v>4.33333333333333</v>
      </c>
      <c r="J17" s="15" t="n">
        <f aca="false">(F17+G17)*0.1+I17</f>
        <v>4.73333333333333</v>
      </c>
    </row>
    <row r="18" customFormat="false" ht="12" hidden="false" customHeight="true" outlineLevel="0" collapsed="false">
      <c r="A18" s="14" t="s">
        <v>69</v>
      </c>
      <c r="B18" s="14" t="s">
        <v>70</v>
      </c>
      <c r="C18" s="14" t="s">
        <v>40</v>
      </c>
      <c r="D18" s="14"/>
      <c r="E18" s="14" t="s">
        <v>71</v>
      </c>
      <c r="I18" s="15" t="n">
        <v>0</v>
      </c>
      <c r="J18" s="15" t="n">
        <f aca="false">(F18+G18)*0.1+I18</f>
        <v>0</v>
      </c>
    </row>
    <row r="19" customFormat="false" ht="12" hidden="false" customHeight="true" outlineLevel="0" collapsed="false">
      <c r="A19" s="14" t="s">
        <v>72</v>
      </c>
      <c r="B19" s="14" t="s">
        <v>73</v>
      </c>
      <c r="C19" s="14" t="s">
        <v>40</v>
      </c>
      <c r="D19" s="14"/>
      <c r="E19" s="14" t="s">
        <v>74</v>
      </c>
      <c r="G19" s="1" t="n">
        <v>3</v>
      </c>
      <c r="H19" s="1" t="n">
        <v>6</v>
      </c>
      <c r="I19" s="15" t="n">
        <f aca="false">(H19+1)/15*5</f>
        <v>2.33333333333333</v>
      </c>
      <c r="J19" s="15" t="n">
        <f aca="false">(F19+G19)*0.1+I19</f>
        <v>2.63333333333333</v>
      </c>
    </row>
    <row r="20" customFormat="false" ht="12" hidden="false" customHeight="true" outlineLevel="0" collapsed="false">
      <c r="A20" s="14" t="s">
        <v>75</v>
      </c>
      <c r="B20" s="14" t="s">
        <v>76</v>
      </c>
      <c r="C20" s="14" t="s">
        <v>23</v>
      </c>
      <c r="D20" s="14"/>
      <c r="E20" s="14" t="s">
        <v>77</v>
      </c>
      <c r="F20" s="1" t="n">
        <v>1</v>
      </c>
      <c r="G20" s="1" t="n">
        <v>3</v>
      </c>
      <c r="H20" s="1" t="n">
        <v>11</v>
      </c>
      <c r="I20" s="15" t="n">
        <f aca="false">(H20+1)/15*5</f>
        <v>4</v>
      </c>
      <c r="J20" s="15" t="n">
        <f aca="false">(F20+G20)*0.1+I20</f>
        <v>4.4</v>
      </c>
    </row>
    <row r="21" customFormat="false" ht="12" hidden="false" customHeight="true" outlineLevel="0" collapsed="false">
      <c r="A21" s="14" t="s">
        <v>78</v>
      </c>
      <c r="B21" s="14" t="s">
        <v>79</v>
      </c>
      <c r="C21" s="14" t="s">
        <v>19</v>
      </c>
      <c r="D21" s="14"/>
      <c r="E21" s="14" t="s">
        <v>80</v>
      </c>
      <c r="H21" s="1" t="n">
        <v>5</v>
      </c>
      <c r="I21" s="15" t="n">
        <f aca="false">(H21+1)/15*5</f>
        <v>2</v>
      </c>
      <c r="J21" s="15" t="n">
        <f aca="false">(F21+G21)*0.1+I21</f>
        <v>2</v>
      </c>
    </row>
    <row r="22" customFormat="false" ht="12" hidden="false" customHeight="true" outlineLevel="0" collapsed="false">
      <c r="A22" s="14" t="s">
        <v>81</v>
      </c>
      <c r="B22" s="14" t="s">
        <v>82</v>
      </c>
      <c r="C22" s="14" t="s">
        <v>40</v>
      </c>
      <c r="D22" s="14"/>
      <c r="E22" s="14" t="s">
        <v>83</v>
      </c>
      <c r="I22" s="15" t="n">
        <v>0</v>
      </c>
      <c r="J22" s="15" t="n">
        <f aca="false">(F22+G22)*0.1+I22</f>
        <v>0</v>
      </c>
    </row>
    <row r="23" customFormat="false" ht="12" hidden="false" customHeight="true" outlineLevel="0" collapsed="false">
      <c r="A23" s="14" t="s">
        <v>84</v>
      </c>
      <c r="B23" s="14" t="s">
        <v>85</v>
      </c>
      <c r="C23" s="14" t="s">
        <v>30</v>
      </c>
      <c r="D23" s="14"/>
      <c r="E23" s="14" t="s">
        <v>86</v>
      </c>
      <c r="I23" s="15" t="n">
        <v>0</v>
      </c>
      <c r="J23" s="15" t="n">
        <f aca="false">(F23+G23)*0.1+I23</f>
        <v>0</v>
      </c>
    </row>
    <row r="24" customFormat="false" ht="12" hidden="false" customHeight="true" outlineLevel="0" collapsed="false">
      <c r="A24" s="14" t="s">
        <v>87</v>
      </c>
      <c r="B24" s="14" t="s">
        <v>88</v>
      </c>
      <c r="C24" s="14" t="s">
        <v>23</v>
      </c>
      <c r="D24" s="14"/>
      <c r="E24" s="14" t="s">
        <v>89</v>
      </c>
      <c r="H24" s="1" t="n">
        <v>6</v>
      </c>
      <c r="I24" s="15" t="n">
        <f aca="false">(H24+1)/15*5</f>
        <v>2.33333333333333</v>
      </c>
      <c r="J24" s="15" t="n">
        <f aca="false">(F24+G24)*0.1+I24</f>
        <v>2.33333333333333</v>
      </c>
    </row>
    <row r="25" customFormat="false" ht="12" hidden="false" customHeight="true" outlineLevel="0" collapsed="false">
      <c r="A25" s="14" t="s">
        <v>90</v>
      </c>
      <c r="B25" s="14" t="s">
        <v>91</v>
      </c>
      <c r="C25" s="14" t="s">
        <v>30</v>
      </c>
      <c r="D25" s="14"/>
      <c r="E25" s="14" t="s">
        <v>92</v>
      </c>
      <c r="F25" s="1" t="n">
        <v>1</v>
      </c>
      <c r="G25" s="1" t="n">
        <v>3</v>
      </c>
      <c r="H25" s="1" t="n">
        <v>6</v>
      </c>
      <c r="I25" s="15" t="n">
        <f aca="false">(H25+1)/15*5</f>
        <v>2.33333333333333</v>
      </c>
      <c r="J25" s="15" t="n">
        <f aca="false">(F25+G25)*0.1+I25</f>
        <v>2.73333333333333</v>
      </c>
    </row>
    <row r="26" customFormat="false" ht="12" hidden="false" customHeight="true" outlineLevel="0" collapsed="false">
      <c r="A26" s="14" t="s">
        <v>93</v>
      </c>
      <c r="B26" s="14" t="s">
        <v>94</v>
      </c>
      <c r="C26" s="14" t="s">
        <v>23</v>
      </c>
      <c r="D26" s="14"/>
      <c r="E26" s="14" t="s">
        <v>95</v>
      </c>
      <c r="F26" s="1" t="n">
        <v>1</v>
      </c>
      <c r="G26" s="1" t="n">
        <v>3</v>
      </c>
      <c r="H26" s="1" t="n">
        <v>11</v>
      </c>
      <c r="I26" s="15" t="n">
        <f aca="false">(H26+1)/15*5</f>
        <v>4</v>
      </c>
      <c r="J26" s="15" t="n">
        <f aca="false">(F26+G26)*0.1+I26</f>
        <v>4.4</v>
      </c>
    </row>
    <row r="27" customFormat="false" ht="12" hidden="false" customHeight="true" outlineLevel="0" collapsed="false">
      <c r="A27" s="14" t="s">
        <v>96</v>
      </c>
      <c r="B27" s="14" t="s">
        <v>97</v>
      </c>
      <c r="C27" s="14" t="s">
        <v>40</v>
      </c>
      <c r="D27" s="14"/>
      <c r="E27" s="14" t="s">
        <v>98</v>
      </c>
      <c r="I27" s="15" t="n">
        <v>0</v>
      </c>
      <c r="J27" s="15" t="n">
        <f aca="false">(F27+G27)*0.1+I27</f>
        <v>0</v>
      </c>
    </row>
    <row r="28" customFormat="false" ht="12" hidden="false" customHeight="true" outlineLevel="0" collapsed="false">
      <c r="A28" s="14" t="s">
        <v>99</v>
      </c>
      <c r="B28" s="14" t="s">
        <v>100</v>
      </c>
      <c r="C28" s="14" t="s">
        <v>23</v>
      </c>
      <c r="D28" s="14"/>
      <c r="E28" s="14" t="s">
        <v>101</v>
      </c>
      <c r="H28" s="1" t="n">
        <v>13</v>
      </c>
      <c r="I28" s="15" t="n">
        <f aca="false">(H28+1)/15*5</f>
        <v>4.66666666666667</v>
      </c>
      <c r="J28" s="15" t="n">
        <f aca="false">(F28+G28)*0.1+I28</f>
        <v>4.66666666666667</v>
      </c>
    </row>
    <row r="29" customFormat="false" ht="12" hidden="false" customHeight="true" outlineLevel="0" collapsed="false">
      <c r="A29" s="14" t="s">
        <v>102</v>
      </c>
      <c r="B29" s="14" t="s">
        <v>103</v>
      </c>
      <c r="C29" s="14" t="s">
        <v>40</v>
      </c>
      <c r="D29" s="14"/>
      <c r="E29" s="14" t="s">
        <v>104</v>
      </c>
      <c r="H29" s="1" t="n">
        <v>7</v>
      </c>
      <c r="I29" s="15" t="n">
        <f aca="false">(H29+1)/15*5</f>
        <v>2.66666666666667</v>
      </c>
      <c r="J29" s="15" t="n">
        <f aca="false">(F29+G29)*0.1+I29</f>
        <v>2.66666666666667</v>
      </c>
    </row>
    <row r="30" customFormat="false" ht="12" hidden="false" customHeight="true" outlineLevel="0" collapsed="false">
      <c r="A30" s="14" t="s">
        <v>105</v>
      </c>
      <c r="B30" s="14" t="s">
        <v>106</v>
      </c>
      <c r="C30" s="14" t="s">
        <v>30</v>
      </c>
      <c r="D30" s="14"/>
      <c r="E30" s="14" t="s">
        <v>107</v>
      </c>
      <c r="G30" s="1" t="n">
        <v>3</v>
      </c>
      <c r="H30" s="1" t="n">
        <v>5</v>
      </c>
      <c r="I30" s="15" t="n">
        <f aca="false">(H30+1)/15*5</f>
        <v>2</v>
      </c>
      <c r="J30" s="15" t="n">
        <f aca="false">(F30+G30)*0.1+I30</f>
        <v>2.3</v>
      </c>
    </row>
    <row r="31" customFormat="false" ht="12" hidden="false" customHeight="true" outlineLevel="0" collapsed="false">
      <c r="A31" s="14" t="s">
        <v>108</v>
      </c>
      <c r="B31" s="14" t="s">
        <v>109</v>
      </c>
      <c r="C31" s="14" t="s">
        <v>40</v>
      </c>
      <c r="D31" s="14"/>
      <c r="E31" s="14" t="s">
        <v>110</v>
      </c>
      <c r="I31" s="15" t="n">
        <v>0</v>
      </c>
      <c r="J31" s="15" t="n">
        <f aca="false">(F31+G31)*0.1+I31</f>
        <v>0</v>
      </c>
    </row>
    <row r="32" customFormat="false" ht="12" hidden="false" customHeight="true" outlineLevel="0" collapsed="false">
      <c r="A32" s="14" t="s">
        <v>111</v>
      </c>
      <c r="B32" s="14" t="s">
        <v>112</v>
      </c>
      <c r="C32" s="14" t="s">
        <v>40</v>
      </c>
      <c r="D32" s="14"/>
      <c r="E32" s="14" t="s">
        <v>113</v>
      </c>
      <c r="F32" s="1" t="n">
        <v>2</v>
      </c>
      <c r="G32" s="1" t="n">
        <v>3</v>
      </c>
      <c r="H32" s="1" t="n">
        <v>7</v>
      </c>
      <c r="I32" s="15" t="n">
        <f aca="false">(H32+1)/15*5</f>
        <v>2.66666666666667</v>
      </c>
      <c r="J32" s="15" t="n">
        <f aca="false">(F32+G32)*0.1+I32</f>
        <v>3.16666666666667</v>
      </c>
    </row>
    <row r="33" customFormat="false" ht="12" hidden="false" customHeight="true" outlineLevel="0" collapsed="false">
      <c r="A33" s="14" t="s">
        <v>114</v>
      </c>
      <c r="B33" s="14" t="s">
        <v>115</v>
      </c>
      <c r="C33" s="14" t="s">
        <v>30</v>
      </c>
      <c r="D33" s="14"/>
      <c r="E33" s="14" t="s">
        <v>116</v>
      </c>
      <c r="I33" s="15" t="n">
        <v>0</v>
      </c>
      <c r="J33" s="15" t="n">
        <f aca="false">(F33+G33)*0.1+I33</f>
        <v>0</v>
      </c>
    </row>
    <row r="34" customFormat="false" ht="12" hidden="false" customHeight="true" outlineLevel="0" collapsed="false">
      <c r="A34" s="14" t="s">
        <v>117</v>
      </c>
      <c r="B34" s="14" t="s">
        <v>118</v>
      </c>
      <c r="C34" s="14" t="s">
        <v>40</v>
      </c>
      <c r="D34" s="14"/>
      <c r="E34" s="14" t="s">
        <v>119</v>
      </c>
      <c r="F34" s="1" t="n">
        <v>1</v>
      </c>
      <c r="G34" s="1" t="n">
        <v>3</v>
      </c>
      <c r="H34" s="1" t="n">
        <v>11</v>
      </c>
      <c r="I34" s="15" t="n">
        <f aca="false">(H34+1)/15*5</f>
        <v>4</v>
      </c>
      <c r="J34" s="15" t="n">
        <f aca="false">(F34+G34)*0.1+I34</f>
        <v>4.4</v>
      </c>
    </row>
    <row r="35" customFormat="false" ht="12" hidden="false" customHeight="true" outlineLevel="0" collapsed="false">
      <c r="A35" s="14" t="s">
        <v>120</v>
      </c>
      <c r="B35" s="14" t="s">
        <v>121</v>
      </c>
      <c r="C35" s="14" t="s">
        <v>23</v>
      </c>
      <c r="D35" s="14"/>
      <c r="E35" s="14" t="s">
        <v>122</v>
      </c>
      <c r="H35" s="1" t="n">
        <v>7</v>
      </c>
      <c r="I35" s="15" t="n">
        <f aca="false">(H35+1)/15*5</f>
        <v>2.66666666666667</v>
      </c>
      <c r="J35" s="15" t="n">
        <f aca="false">(F35+G35)*0.1+I35</f>
        <v>2.66666666666667</v>
      </c>
    </row>
    <row r="36" customFormat="false" ht="12" hidden="false" customHeight="true" outlineLevel="0" collapsed="false">
      <c r="A36" s="14" t="s">
        <v>123</v>
      </c>
      <c r="B36" s="14" t="s">
        <v>124</v>
      </c>
      <c r="C36" s="14" t="s">
        <v>40</v>
      </c>
      <c r="D36" s="14"/>
      <c r="E36" s="14" t="s">
        <v>125</v>
      </c>
      <c r="H36" s="1" t="n">
        <v>8</v>
      </c>
      <c r="I36" s="15" t="n">
        <f aca="false">(H36+1)/15*5</f>
        <v>3</v>
      </c>
      <c r="J36" s="15" t="n">
        <f aca="false">(F36+G36)*0.1+I36</f>
        <v>3</v>
      </c>
    </row>
    <row r="37" customFormat="false" ht="12" hidden="false" customHeight="true" outlineLevel="0" collapsed="false">
      <c r="A37" s="14" t="s">
        <v>126</v>
      </c>
      <c r="B37" s="14" t="s">
        <v>127</v>
      </c>
      <c r="C37" s="14" t="s">
        <v>30</v>
      </c>
      <c r="D37" s="14"/>
      <c r="E37" s="14" t="s">
        <v>128</v>
      </c>
      <c r="F37" s="1" t="n">
        <v>1</v>
      </c>
      <c r="H37" s="1" t="n">
        <v>5</v>
      </c>
      <c r="I37" s="15" t="n">
        <f aca="false">(H37+1)/15*5</f>
        <v>2</v>
      </c>
      <c r="J37" s="15" t="n">
        <f aca="false">(F37+G37)*0.1+I37</f>
        <v>2.1</v>
      </c>
    </row>
    <row r="38" customFormat="false" ht="12" hidden="false" customHeight="true" outlineLevel="0" collapsed="false">
      <c r="A38" s="14" t="s">
        <v>129</v>
      </c>
      <c r="B38" s="14" t="s">
        <v>130</v>
      </c>
      <c r="C38" s="14" t="s">
        <v>30</v>
      </c>
      <c r="D38" s="14"/>
      <c r="E38" s="14" t="s">
        <v>131</v>
      </c>
      <c r="I38" s="15" t="n">
        <v>0</v>
      </c>
      <c r="J38" s="15" t="n">
        <f aca="false">(F38+G38)*0.1+I38</f>
        <v>0</v>
      </c>
    </row>
    <row r="39" customFormat="false" ht="12" hidden="false" customHeight="true" outlineLevel="0" collapsed="false">
      <c r="A39" s="14" t="s">
        <v>132</v>
      </c>
      <c r="B39" s="14" t="s">
        <v>133</v>
      </c>
      <c r="C39" s="14" t="s">
        <v>23</v>
      </c>
      <c r="D39" s="14"/>
      <c r="E39" s="14" t="s">
        <v>134</v>
      </c>
      <c r="F39" s="1" t="n">
        <v>1</v>
      </c>
      <c r="H39" s="1" t="n">
        <v>9</v>
      </c>
      <c r="I39" s="15" t="n">
        <f aca="false">(H39+1)/15*5</f>
        <v>3.33333333333333</v>
      </c>
      <c r="J39" s="15" t="n">
        <f aca="false">(F39+G39)*0.1+I39</f>
        <v>3.43333333333333</v>
      </c>
    </row>
    <row r="40" customFormat="false" ht="12" hidden="false" customHeight="true" outlineLevel="0" collapsed="false">
      <c r="A40" s="14" t="s">
        <v>135</v>
      </c>
      <c r="B40" s="14" t="s">
        <v>136</v>
      </c>
      <c r="C40" s="14" t="s">
        <v>30</v>
      </c>
      <c r="D40" s="14"/>
      <c r="E40" s="14" t="s">
        <v>137</v>
      </c>
      <c r="G40" s="1" t="n">
        <v>3</v>
      </c>
      <c r="H40" s="1" t="n">
        <v>3</v>
      </c>
      <c r="I40" s="15" t="n">
        <f aca="false">(H40+1)/15*5</f>
        <v>1.33333333333333</v>
      </c>
      <c r="J40" s="15" t="n">
        <f aca="false">(F40+G40)*0.1+I40</f>
        <v>1.63333333333333</v>
      </c>
    </row>
    <row r="41" customFormat="false" ht="12" hidden="false" customHeight="true" outlineLevel="0" collapsed="false">
      <c r="A41" s="14" t="s">
        <v>138</v>
      </c>
      <c r="B41" s="14" t="s">
        <v>139</v>
      </c>
      <c r="C41" s="14" t="s">
        <v>30</v>
      </c>
      <c r="D41" s="14"/>
      <c r="E41" s="14" t="s">
        <v>140</v>
      </c>
      <c r="G41" s="1" t="n">
        <v>3</v>
      </c>
      <c r="H41" s="1" t="n">
        <v>8</v>
      </c>
      <c r="I41" s="15" t="n">
        <f aca="false">(H41+1)/15*5</f>
        <v>3</v>
      </c>
      <c r="J41" s="15" t="n">
        <f aca="false">(F41+G41)*0.1+I41</f>
        <v>3.3</v>
      </c>
    </row>
    <row r="42" customFormat="false" ht="12" hidden="false" customHeight="true" outlineLevel="0" collapsed="false">
      <c r="A42" s="14" t="s">
        <v>141</v>
      </c>
      <c r="B42" s="14" t="s">
        <v>142</v>
      </c>
      <c r="C42" s="14" t="s">
        <v>19</v>
      </c>
      <c r="D42" s="14"/>
      <c r="E42" s="14" t="s">
        <v>143</v>
      </c>
      <c r="H42" s="1" t="n">
        <v>8</v>
      </c>
      <c r="I42" s="15" t="n">
        <f aca="false">(H42+1)/15*5</f>
        <v>3</v>
      </c>
      <c r="J42" s="15" t="n">
        <f aca="false">(F42+G42)*0.1+I42</f>
        <v>3</v>
      </c>
    </row>
    <row r="43" customFormat="false" ht="12" hidden="false" customHeight="true" outlineLevel="0" collapsed="false">
      <c r="A43" s="14" t="s">
        <v>144</v>
      </c>
      <c r="B43" s="14" t="s">
        <v>145</v>
      </c>
      <c r="C43" s="14" t="s">
        <v>30</v>
      </c>
      <c r="D43" s="14"/>
      <c r="E43" s="14" t="s">
        <v>146</v>
      </c>
      <c r="I43" s="15" t="n">
        <v>0</v>
      </c>
      <c r="J43" s="15" t="n">
        <f aca="false">(F43+G43)*0.1+I43</f>
        <v>0</v>
      </c>
    </row>
    <row r="44" customFormat="false" ht="12" hidden="false" customHeight="true" outlineLevel="0" collapsed="false">
      <c r="A44" s="14" t="s">
        <v>147</v>
      </c>
      <c r="B44" s="14" t="s">
        <v>148</v>
      </c>
      <c r="C44" s="14" t="s">
        <v>30</v>
      </c>
      <c r="D44" s="14"/>
      <c r="E44" s="14" t="s">
        <v>149</v>
      </c>
      <c r="I44" s="15" t="n">
        <v>0</v>
      </c>
      <c r="J44" s="15" t="n">
        <f aca="false">(F44+G44)*0.1+I44</f>
        <v>0</v>
      </c>
    </row>
    <row r="45" customFormat="false" ht="12" hidden="false" customHeight="true" outlineLevel="0" collapsed="false">
      <c r="A45" s="14" t="s">
        <v>150</v>
      </c>
      <c r="B45" s="14" t="s">
        <v>151</v>
      </c>
      <c r="C45" s="14" t="s">
        <v>40</v>
      </c>
      <c r="D45" s="14"/>
      <c r="E45" s="14" t="s">
        <v>152</v>
      </c>
      <c r="H45" s="1" t="n">
        <v>11</v>
      </c>
      <c r="I45" s="15" t="n">
        <f aca="false">(H45+1)/15*5</f>
        <v>4</v>
      </c>
      <c r="J45" s="15" t="n">
        <f aca="false">(F45+G45)*0.1+I45</f>
        <v>4</v>
      </c>
    </row>
    <row r="46" customFormat="false" ht="12" hidden="false" customHeight="true" outlineLevel="0" collapsed="false">
      <c r="A46" s="14" t="s">
        <v>153</v>
      </c>
      <c r="B46" s="14" t="s">
        <v>154</v>
      </c>
      <c r="C46" s="14" t="s">
        <v>23</v>
      </c>
      <c r="D46" s="14"/>
      <c r="E46" s="14" t="s">
        <v>155</v>
      </c>
      <c r="I46" s="15" t="n">
        <v>0</v>
      </c>
      <c r="J46" s="15" t="n">
        <f aca="false">(F46+G46)*0.1+I46</f>
        <v>0</v>
      </c>
    </row>
    <row r="47" customFormat="false" ht="12" hidden="false" customHeight="true" outlineLevel="0" collapsed="false">
      <c r="A47" s="14" t="s">
        <v>156</v>
      </c>
      <c r="B47" s="14" t="s">
        <v>157</v>
      </c>
      <c r="C47" s="14" t="s">
        <v>40</v>
      </c>
      <c r="D47" s="14"/>
      <c r="E47" s="14" t="s">
        <v>158</v>
      </c>
      <c r="H47" s="1" t="n">
        <v>8</v>
      </c>
      <c r="I47" s="15" t="n">
        <f aca="false">(H47+1)/15*5</f>
        <v>3</v>
      </c>
      <c r="J47" s="15" t="n">
        <f aca="false">(F47+G47)*0.1+I47</f>
        <v>3</v>
      </c>
    </row>
    <row r="48" customFormat="false" ht="12" hidden="false" customHeight="true" outlineLevel="0" collapsed="false">
      <c r="A48" s="14" t="s">
        <v>159</v>
      </c>
      <c r="B48" s="14" t="s">
        <v>160</v>
      </c>
      <c r="C48" s="14" t="s">
        <v>19</v>
      </c>
      <c r="D48" s="14"/>
      <c r="E48" s="14" t="s">
        <v>161</v>
      </c>
      <c r="F48" s="1" t="n">
        <v>1</v>
      </c>
      <c r="H48" s="1" t="n">
        <v>15</v>
      </c>
      <c r="I48" s="15" t="n">
        <f aca="false">(H48+1)/15*5</f>
        <v>5.33333333333333</v>
      </c>
      <c r="J48" s="15" t="n">
        <f aca="false">(F48+G48)*0.1+I48</f>
        <v>5.43333333333333</v>
      </c>
    </row>
    <row r="49" customFormat="false" ht="12" hidden="false" customHeight="true" outlineLevel="0" collapsed="false">
      <c r="A49" s="14" t="s">
        <v>162</v>
      </c>
      <c r="B49" s="14" t="s">
        <v>163</v>
      </c>
      <c r="C49" s="14" t="s">
        <v>30</v>
      </c>
      <c r="D49" s="14"/>
      <c r="E49" s="14" t="s">
        <v>164</v>
      </c>
      <c r="H49" s="1" t="n">
        <v>11</v>
      </c>
      <c r="I49" s="15" t="n">
        <f aca="false">(H49+1)/15*5</f>
        <v>4</v>
      </c>
      <c r="J49" s="15" t="n">
        <f aca="false">(F49+G49)*0.1+I49</f>
        <v>4</v>
      </c>
    </row>
    <row r="50" customFormat="false" ht="12" hidden="false" customHeight="true" outlineLevel="0" collapsed="false">
      <c r="A50" s="14" t="s">
        <v>165</v>
      </c>
      <c r="B50" s="14" t="s">
        <v>166</v>
      </c>
      <c r="C50" s="14" t="s">
        <v>19</v>
      </c>
      <c r="D50" s="14"/>
      <c r="E50" s="14" t="s">
        <v>167</v>
      </c>
      <c r="I50" s="15" t="n">
        <v>0</v>
      </c>
      <c r="J50" s="15" t="n">
        <f aca="false">(F50+G50)*0.1+I50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2026-10-02T22:44:03Z</dcterms:created>
  <dc:creator/>
  <dc:description/>
  <dc:language>en-US</dc:language>
  <cp:lastModifiedBy>Jose Giovany Babativa Marquez</cp:lastModifiedBy>
  <cp:lastPrinted>2026-09-03T17:34:13Z</cp:lastPrinted>
  <dcterms:modified xsi:type="dcterms:W3CDTF">2026-10-03T00:36:05Z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